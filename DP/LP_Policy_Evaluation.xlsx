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mhahsler\github\Introduction_to_Reinforcement_Learning\DP\"/>
    </mc:Choice>
  </mc:AlternateContent>
  <xr:revisionPtr revIDLastSave="0" documentId="13_ncr:1_{4AC61C98-A4B7-4B4E-AA5A-19AB4F2E97F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LP Policy Evaluation" sheetId="1" r:id="rId1"/>
  </sheets>
  <definedNames>
    <definedName name="solver_adj" localSheetId="0" hidden="1">'LP Policy Evaluation'!$F$22:$F$23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'LP Policy Evaluation'!$F$22</definedName>
    <definedName name="solver_lhs2" localSheetId="0" hidden="1">'LP Policy Evaluation'!$F$23</definedName>
    <definedName name="solver_lhs3" localSheetId="0" hidden="1">'LP Policy Evaluation'!$F$23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'LP Policy Evaluation'!$E$31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el2" localSheetId="0" hidden="1">3</definedName>
    <definedName name="solver_rel3" localSheetId="0" hidden="1">1</definedName>
    <definedName name="solver_rhs1" localSheetId="0" hidden="1">'LP Policy Evaluation'!$G$22</definedName>
    <definedName name="solver_rhs2" localSheetId="0" hidden="1">'LP Policy Evaluation'!$G$23</definedName>
    <definedName name="solver_rhs3" localSheetId="0" hidden="1">'LP Policy Evaluation'!$G$23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3" i="1"/>
  <c r="F25" i="1"/>
  <c r="C66" i="1"/>
  <c r="B66" i="1"/>
  <c r="C65" i="1"/>
  <c r="B65" i="1"/>
  <c r="C64" i="1"/>
  <c r="B64" i="1"/>
  <c r="C63" i="1"/>
  <c r="B63" i="1"/>
  <c r="B23" i="1"/>
  <c r="C62" i="1"/>
  <c r="B62" i="1"/>
  <c r="B2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</calcChain>
</file>

<file path=xl/sharedStrings.xml><?xml version="1.0" encoding="utf-8"?>
<sst xmlns="http://schemas.openxmlformats.org/spreadsheetml/2006/main" count="42" uniqueCount="37">
  <si>
    <t>Two-State MDP Policy Evaluation via Linear Programming</t>
  </si>
  <si>
    <t>Interactive setup solving V(s1) and V(s2) using Bellman Expectation Constraints</t>
  </si>
  <si>
    <t>Parameter</t>
  </si>
  <si>
    <t>Value</t>
  </si>
  <si>
    <t>Description</t>
  </si>
  <si>
    <t>Discount Factor (γ)</t>
  </si>
  <si>
    <t>Future reward discount rate</t>
  </si>
  <si>
    <t>Reward S1 (R1)</t>
  </si>
  <si>
    <t>Immediate expected reward from State 1</t>
  </si>
  <si>
    <t>Reward S2 (R2)</t>
  </si>
  <si>
    <t>Immediate expected reward from State 2</t>
  </si>
  <si>
    <t>P11</t>
  </si>
  <si>
    <t>Transition probability from S1 to S1</t>
  </si>
  <si>
    <t>P12</t>
  </si>
  <si>
    <t>Transition probability from S1 to S2</t>
  </si>
  <si>
    <t>P21</t>
  </si>
  <si>
    <t>Transition probability from S2 to S1</t>
  </si>
  <si>
    <t>P22</t>
  </si>
  <si>
    <t>Transition probability from S2 to S2</t>
  </si>
  <si>
    <t>State</t>
  </si>
  <si>
    <t>V(s1)</t>
  </si>
  <si>
    <t>V(s2)</t>
  </si>
  <si>
    <t>V</t>
  </si>
  <si>
    <t>Constraint V(s2)</t>
  </si>
  <si>
    <t>Constraint V(s1)</t>
  </si>
  <si>
    <t>Using the Solver</t>
  </si>
  <si>
    <t>objective (min)</t>
  </si>
  <si>
    <t xml:space="preserve"> MDP Parameters (Editable)</t>
  </si>
  <si>
    <t>Exact Optimal Solution (Intersection Point)</t>
  </si>
  <si>
    <t>For Visualization</t>
  </si>
  <si>
    <t>LP</t>
  </si>
  <si>
    <t>Min</t>
  </si>
  <si>
    <t>V(s1)+V(s2)</t>
  </si>
  <si>
    <t>Subject to:</t>
  </si>
  <si>
    <t>V(s1) &gt;=  R1 + γ(P11 V(s1) + P12 V(s2))</t>
  </si>
  <si>
    <t>V(s2) &gt;=  R2 + γ(P21 V(s1) + P22 V(s2))</t>
  </si>
  <si>
    <t>Constraint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</si>
</sst>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6"/>
      <color rgb="FF1F497D"/>
      <name val="Segoe UI"/>
      <family val="2"/>
    </font>
    <font>
      <i/>
      <sz val="10"/>
      <color rgb="FF595959"/>
      <name val="Segoe UI"/>
      <family val="2"/>
    </font>
    <font>
      <b/>
      <sz val="12"/>
      <color rgb="FF1F497D"/>
      <name val="Segoe UI"/>
      <family val="2"/>
    </font>
    <font>
      <b/>
      <sz val="10"/>
      <color rgb="FFFFFFFF"/>
      <name val="Segoe UI"/>
      <family val="2"/>
    </font>
    <font>
      <b/>
      <sz val="10"/>
      <name val="Segoe UI"/>
      <family val="2"/>
    </font>
    <font>
      <sz val="1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0" borderId="1" xfId="0" applyFont="1" applyBorder="1"/>
    <xf numFmtId="0" fontId="6" fillId="0" borderId="1" xfId="0" applyFont="1" applyBorder="1"/>
    <xf numFmtId="164" fontId="6" fillId="0" borderId="1" xfId="0" applyNumberFormat="1" applyFont="1" applyBorder="1"/>
    <xf numFmtId="2" fontId="6" fillId="0" borderId="1" xfId="0" applyNumberFormat="1" applyFont="1" applyBorder="1"/>
    <xf numFmtId="0" fontId="4" fillId="2" borderId="0" xfId="0" applyFont="1" applyFill="1"/>
    <xf numFmtId="2" fontId="0" fillId="0" borderId="0" xfId="0" applyNumberFormat="1"/>
    <xf numFmtId="2" fontId="6" fillId="0" borderId="0" xfId="0" applyNumberFormat="1" applyFont="1"/>
    <xf numFmtId="2" fontId="6" fillId="3" borderId="1" xfId="0" applyNumberFormat="1" applyFont="1" applyFill="1" applyBorder="1" applyAlignment="1">
      <alignment horizontal="right"/>
    </xf>
    <xf numFmtId="164" fontId="6" fillId="3" borderId="1" xfId="0" applyNumberFormat="1" applyFont="1" applyFill="1" applyBorder="1" applyAlignment="1">
      <alignment horizontal="right"/>
    </xf>
    <xf numFmtId="0" fontId="5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LP</a:t>
            </a:r>
            <a:r>
              <a:rPr lang="en-US" baseline="0"/>
              <a:t> for 2-State MDP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'LP Policy Evaluation'!$B$50</c:f>
              <c:strCache>
                <c:ptCount val="1"/>
                <c:pt idx="0">
                  <c:v>Constraint V(s1)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'LP Policy Evaluation'!$A$51:$A$66</c:f>
              <c:numCache>
                <c:formatCode>0.0</c:formatCode>
                <c:ptCount val="16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</c:numCache>
            </c:numRef>
          </c:cat>
          <c:val>
            <c:numRef>
              <c:f>'LP Policy Evaluation'!$B$51:$B$66</c:f>
              <c:numCache>
                <c:formatCode>0.00</c:formatCode>
                <c:ptCount val="16"/>
                <c:pt idx="0">
                  <c:v>10</c:v>
                </c:pt>
                <c:pt idx="1">
                  <c:v>11.222222222222223</c:v>
                </c:pt>
                <c:pt idx="2">
                  <c:v>12.444444444444445</c:v>
                </c:pt>
                <c:pt idx="3">
                  <c:v>13.666666666666668</c:v>
                </c:pt>
                <c:pt idx="4">
                  <c:v>14.888888888888891</c:v>
                </c:pt>
                <c:pt idx="5">
                  <c:v>16.111111111111111</c:v>
                </c:pt>
                <c:pt idx="6">
                  <c:v>17.333333333333336</c:v>
                </c:pt>
                <c:pt idx="7">
                  <c:v>18.555555555555557</c:v>
                </c:pt>
                <c:pt idx="8">
                  <c:v>19.777777777777779</c:v>
                </c:pt>
                <c:pt idx="9">
                  <c:v>21.000000000000004</c:v>
                </c:pt>
                <c:pt idx="10">
                  <c:v>22.222222222222221</c:v>
                </c:pt>
                <c:pt idx="11">
                  <c:v>23.444444444444446</c:v>
                </c:pt>
                <c:pt idx="12">
                  <c:v>24.666666666666668</c:v>
                </c:pt>
                <c:pt idx="13">
                  <c:v>25.888888888888889</c:v>
                </c:pt>
                <c:pt idx="14">
                  <c:v>27.111111111111114</c:v>
                </c:pt>
                <c:pt idx="15">
                  <c:v>28.333333333333336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28-4C8E-B00A-22D066A9B0B7}"/>
            </c:ext>
          </c:extLst>
        </c:ser>
        <c:ser>
          <c:idx val="1"/>
          <c:order val="1"/>
          <c:tx>
            <c:strRef>
              <c:f>'LP Policy Evaluation'!$C$50</c:f>
              <c:strCache>
                <c:ptCount val="1"/>
                <c:pt idx="0">
                  <c:v>Constraint V(s2)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'LP Policy Evaluation'!$A$51:$A$66</c:f>
              <c:numCache>
                <c:formatCode>0.0</c:formatCode>
                <c:ptCount val="16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</c:numCache>
            </c:numRef>
          </c:cat>
          <c:val>
            <c:numRef>
              <c:f>'LP Policy Evaluation'!$C$51:$C$66</c:f>
              <c:numCache>
                <c:formatCode>0.00</c:formatCode>
                <c:ptCount val="16"/>
                <c:pt idx="0">
                  <c:v>15.263157894736848</c:v>
                </c:pt>
                <c:pt idx="1">
                  <c:v>15.736842105263163</c:v>
                </c:pt>
                <c:pt idx="2">
                  <c:v>16.21052631578948</c:v>
                </c:pt>
                <c:pt idx="3">
                  <c:v>16.684210526315795</c:v>
                </c:pt>
                <c:pt idx="4">
                  <c:v>17.15789473684211</c:v>
                </c:pt>
                <c:pt idx="5">
                  <c:v>17.631578947368425</c:v>
                </c:pt>
                <c:pt idx="6">
                  <c:v>18.105263157894743</c:v>
                </c:pt>
                <c:pt idx="7">
                  <c:v>18.578947368421058</c:v>
                </c:pt>
                <c:pt idx="8">
                  <c:v>19.052631578947373</c:v>
                </c:pt>
                <c:pt idx="9">
                  <c:v>19.526315789473689</c:v>
                </c:pt>
                <c:pt idx="10">
                  <c:v>20.000000000000007</c:v>
                </c:pt>
                <c:pt idx="11">
                  <c:v>20.473684210526322</c:v>
                </c:pt>
                <c:pt idx="12">
                  <c:v>20.947368421052641</c:v>
                </c:pt>
                <c:pt idx="13">
                  <c:v>21.421052631578956</c:v>
                </c:pt>
                <c:pt idx="14">
                  <c:v>21.894736842105271</c:v>
                </c:pt>
                <c:pt idx="15">
                  <c:v>22.368421052631586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28-4C8E-B00A-22D066A9B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217840"/>
        <c:axId val="1015613472"/>
      </c:lineChart>
      <c:catAx>
        <c:axId val="9382178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V(s1)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613472"/>
        <c:crosses val="autoZero"/>
        <c:auto val="1"/>
        <c:lblAlgn val="ctr"/>
        <c:lblOffset val="100"/>
        <c:noMultiLvlLbl val="0"/>
      </c:catAx>
      <c:valAx>
        <c:axId val="101561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V(s2)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21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758825</xdr:colOff>
      <xdr:row>24</xdr:row>
      <xdr:rowOff>76200</xdr:rowOff>
    </xdr:from>
    <xdr:to>
      <xdr:col>2</xdr:col>
      <xdr:colOff>1949450</xdr:colOff>
      <xdr:row>41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392BAE-65BB-DF7C-4722-CF4BC4EA04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50800</xdr:colOff>
      <xdr:row>28</xdr:row>
      <xdr:rowOff>31750</xdr:rowOff>
    </xdr:from>
    <xdr:to>
      <xdr:col>7</xdr:col>
      <xdr:colOff>950509</xdr:colOff>
      <xdr:row>50</xdr:row>
      <xdr:rowOff>197985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4A4C9F-B5CB-FC55-9B9A-9D8C6966949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513" t="1190" r="1"/>
        <a:stretch>
          <a:fillRect/>
        </a:stretch>
      </xdr:blipFill>
      <xdr:spPr>
        <a:xfrm>
          <a:off x="5867400" y="5759450"/>
          <a:ext cx="4385859" cy="4217535"/>
        </a:xfrm>
        <a:prstGeom prst="rect">
          <a:avLst/>
        </a:prstGeom>
      </xdr:spPr>
    </xdr:pic>
    <xdr:clientData/>
  </xdr:twoCellAnchor>
  <xdr:twoCellAnchor>
    <xdr:from>
      <xdr:col>0</xdr:col>
      <xdr:colOff>355600</xdr:colOff>
      <xdr:row>41</xdr:row>
      <xdr:rowOff>177800</xdr:rowOff>
    </xdr:from>
    <xdr:to>
      <xdr:col>2</xdr:col>
      <xdr:colOff>2317750</xdr:colOff>
      <xdr:row>43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0C48705-7D16-9F62-6E3C-AD127D55B291}"/>
            </a:ext>
          </a:extLst>
        </xdr:cNvPr>
        <xdr:cNvSpPr txBox="1"/>
      </xdr:nvSpPr>
      <xdr:spPr>
        <a:xfrm>
          <a:off x="355600" y="8337550"/>
          <a:ext cx="4387850" cy="28575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Feasible region it the top tight triangle between the two constraint lines.</a:t>
          </a:r>
          <a:r>
            <a:rPr lang="en-US">
              <a:effectLst/>
            </a:rPr>
            <a:t>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66"/>
  <sheetViews>
    <sheetView tabSelected="1" workbookViewId="0">
      <selection activeCell="C57" sqref="C57"/>
    </sheetView>
  </sheetViews>
  <sheetFormatPr defaultRowHeight="14.5" x14ac:dyDescent="0.35"/>
  <cols>
    <col min="1" max="1" width="27.36328125" customWidth="1"/>
    <col min="2" max="2" width="21.26953125" customWidth="1"/>
    <col min="3" max="3" width="36.54296875" customWidth="1"/>
    <col min="4" max="4" width="12" customWidth="1"/>
    <col min="5" max="5" width="19.90625" customWidth="1"/>
    <col min="6" max="6" width="13.90625" customWidth="1"/>
    <col min="7" max="8" width="16.08984375" customWidth="1"/>
  </cols>
  <sheetData>
    <row r="2" spans="1:9" ht="25" x14ac:dyDescent="0.7">
      <c r="A2" s="1" t="s">
        <v>0</v>
      </c>
    </row>
    <row r="3" spans="1:9" ht="16" x14ac:dyDescent="0.45">
      <c r="A3" s="2" t="s">
        <v>1</v>
      </c>
    </row>
    <row r="5" spans="1:9" ht="17.5" x14ac:dyDescent="0.45">
      <c r="A5" s="3" t="s">
        <v>27</v>
      </c>
    </row>
    <row r="6" spans="1:9" ht="16" x14ac:dyDescent="0.45">
      <c r="A6" s="4" t="s">
        <v>2</v>
      </c>
      <c r="B6" s="4" t="s">
        <v>3</v>
      </c>
      <c r="C6" s="4" t="s">
        <v>4</v>
      </c>
    </row>
    <row r="7" spans="1:9" ht="16" x14ac:dyDescent="0.45">
      <c r="A7" s="5" t="s">
        <v>5</v>
      </c>
      <c r="B7" s="12">
        <v>0.9</v>
      </c>
      <c r="C7" s="6" t="s">
        <v>6</v>
      </c>
      <c r="H7" s="11"/>
      <c r="I7" s="10"/>
    </row>
    <row r="8" spans="1:9" ht="16" x14ac:dyDescent="0.45">
      <c r="A8" s="5" t="s">
        <v>7</v>
      </c>
      <c r="B8" s="13">
        <v>1</v>
      </c>
      <c r="C8" s="6" t="s">
        <v>8</v>
      </c>
      <c r="H8" s="11"/>
      <c r="I8" s="10"/>
    </row>
    <row r="9" spans="1:9" ht="16" x14ac:dyDescent="0.45">
      <c r="A9" s="5" t="s">
        <v>9</v>
      </c>
      <c r="B9" s="13">
        <v>2</v>
      </c>
      <c r="C9" s="6" t="s">
        <v>10</v>
      </c>
      <c r="H9" s="11"/>
      <c r="I9" s="10"/>
    </row>
    <row r="10" spans="1:9" ht="16" x14ac:dyDescent="0.45">
      <c r="A10" s="5" t="s">
        <v>11</v>
      </c>
      <c r="B10" s="13">
        <v>0.5</v>
      </c>
      <c r="C10" s="6" t="s">
        <v>12</v>
      </c>
      <c r="H10" s="11"/>
      <c r="I10" s="10"/>
    </row>
    <row r="11" spans="1:9" ht="16" x14ac:dyDescent="0.45">
      <c r="A11" s="5" t="s">
        <v>13</v>
      </c>
      <c r="B11" s="13">
        <v>0.5</v>
      </c>
      <c r="C11" s="6" t="s">
        <v>14</v>
      </c>
      <c r="H11" s="11"/>
      <c r="I11" s="10"/>
    </row>
    <row r="12" spans="1:9" ht="16" x14ac:dyDescent="0.45">
      <c r="A12" s="5" t="s">
        <v>15</v>
      </c>
      <c r="B12" s="13">
        <v>0.1</v>
      </c>
      <c r="C12" s="6" t="s">
        <v>16</v>
      </c>
      <c r="H12" s="11"/>
      <c r="I12" s="10"/>
    </row>
    <row r="13" spans="1:9" ht="16" x14ac:dyDescent="0.45">
      <c r="A13" s="5" t="s">
        <v>17</v>
      </c>
      <c r="B13" s="13">
        <v>0.9</v>
      </c>
      <c r="C13" s="6" t="s">
        <v>18</v>
      </c>
      <c r="H13" s="11"/>
      <c r="I13" s="10"/>
    </row>
    <row r="14" spans="1:9" ht="16" x14ac:dyDescent="0.45">
      <c r="H14" s="11"/>
      <c r="I14" s="10"/>
    </row>
    <row r="15" spans="1:9" ht="17.5" x14ac:dyDescent="0.45">
      <c r="A15" s="3" t="s">
        <v>30</v>
      </c>
      <c r="H15" s="11"/>
      <c r="I15" s="10"/>
    </row>
    <row r="16" spans="1:9" ht="16" x14ac:dyDescent="0.45">
      <c r="A16" s="14" t="s">
        <v>31</v>
      </c>
      <c r="B16" t="s">
        <v>32</v>
      </c>
      <c r="H16" s="11"/>
      <c r="I16" s="10"/>
    </row>
    <row r="17" spans="1:9" ht="16" x14ac:dyDescent="0.45">
      <c r="A17" s="14" t="s">
        <v>33</v>
      </c>
      <c r="B17" t="s">
        <v>34</v>
      </c>
      <c r="H17" s="11"/>
      <c r="I17" s="10"/>
    </row>
    <row r="18" spans="1:9" ht="16" x14ac:dyDescent="0.45">
      <c r="B18" t="s">
        <v>35</v>
      </c>
      <c r="H18" s="11"/>
      <c r="I18" s="10"/>
    </row>
    <row r="19" spans="1:9" ht="16" x14ac:dyDescent="0.45">
      <c r="H19" s="11"/>
      <c r="I19" s="10"/>
    </row>
    <row r="20" spans="1:9" ht="17.5" x14ac:dyDescent="0.45">
      <c r="A20" s="3" t="s">
        <v>28</v>
      </c>
      <c r="E20" s="3" t="s">
        <v>25</v>
      </c>
      <c r="I20" s="10"/>
    </row>
    <row r="21" spans="1:9" ht="16" x14ac:dyDescent="0.45">
      <c r="A21" s="9" t="s">
        <v>19</v>
      </c>
      <c r="B21" s="4" t="s">
        <v>22</v>
      </c>
      <c r="E21" s="9" t="s">
        <v>19</v>
      </c>
      <c r="F21" s="4" t="s">
        <v>22</v>
      </c>
      <c r="G21" s="4" t="s">
        <v>36</v>
      </c>
      <c r="I21" s="10"/>
    </row>
    <row r="22" spans="1:9" ht="16" x14ac:dyDescent="0.45">
      <c r="A22" s="5" t="s">
        <v>20</v>
      </c>
      <c r="B22" s="8">
        <f>(((1-$B$7*$B$13)*$B$8 + ($B$7*$B$11)*$B$9)/((1-$B$7*$B$10)*(1-$B$7*$B$13)-($B$7*$B$11)*($B$7*$B$12)))</f>
        <v>17.031250000000004</v>
      </c>
      <c r="E22" s="5" t="s">
        <v>20</v>
      </c>
      <c r="F22">
        <v>17.031249999999989</v>
      </c>
      <c r="G22">
        <f>$B$8+$B$7*($B$10*F22+$B$11*F23)</f>
        <v>17.031249999999989</v>
      </c>
      <c r="I22" s="10"/>
    </row>
    <row r="23" spans="1:9" ht="16" x14ac:dyDescent="0.45">
      <c r="A23" s="5" t="s">
        <v>21</v>
      </c>
      <c r="B23" s="8">
        <f>((($B$7*$B$12)*$B$8 + (1-$B$7*$B$10)*$B$9)/((1-$B$7*$B$10)*(1-$B$7*$B$13)-($B$7*$B$11)*($B$7*$B$12)))</f>
        <v>18.593750000000011</v>
      </c>
      <c r="E23" s="5" t="s">
        <v>21</v>
      </c>
      <c r="F23">
        <v>18.593749999999989</v>
      </c>
      <c r="G23">
        <f>$B$9+$B$7*($B$12*F22+$B$13*F23)</f>
        <v>18.593749999999989</v>
      </c>
    </row>
    <row r="25" spans="1:9" x14ac:dyDescent="0.35">
      <c r="E25" t="s">
        <v>26</v>
      </c>
      <c r="F25">
        <f>F22+F23</f>
        <v>35.624999999999979</v>
      </c>
    </row>
    <row r="49" spans="1:3" x14ac:dyDescent="0.35">
      <c r="A49" t="s">
        <v>29</v>
      </c>
    </row>
    <row r="50" spans="1:3" x14ac:dyDescent="0.35">
      <c r="A50" t="s">
        <v>20</v>
      </c>
      <c r="B50" t="s">
        <v>24</v>
      </c>
      <c r="C50" t="s">
        <v>23</v>
      </c>
    </row>
    <row r="51" spans="1:3" ht="16" x14ac:dyDescent="0.45">
      <c r="A51" s="7">
        <v>10</v>
      </c>
      <c r="B51" s="8">
        <f t="shared" ref="B51:B66" si="0">(A51*(1-$B$7*$B$10)-$B$8)/($B$7*$B$11)</f>
        <v>10</v>
      </c>
      <c r="C51" s="8">
        <f t="shared" ref="C51:C66" si="1">($B$9+$B$7*$B$12*A51)/(1-$B$7*$B$13)</f>
        <v>15.263157894736848</v>
      </c>
    </row>
    <row r="52" spans="1:3" ht="16" x14ac:dyDescent="0.45">
      <c r="A52" s="7">
        <v>11</v>
      </c>
      <c r="B52" s="8">
        <f t="shared" si="0"/>
        <v>11.222222222222223</v>
      </c>
      <c r="C52" s="8">
        <f t="shared" si="1"/>
        <v>15.736842105263163</v>
      </c>
    </row>
    <row r="53" spans="1:3" ht="16" x14ac:dyDescent="0.45">
      <c r="A53" s="7">
        <v>12</v>
      </c>
      <c r="B53" s="8">
        <f t="shared" si="0"/>
        <v>12.444444444444445</v>
      </c>
      <c r="C53" s="8">
        <f t="shared" si="1"/>
        <v>16.21052631578948</v>
      </c>
    </row>
    <row r="54" spans="1:3" ht="16" x14ac:dyDescent="0.45">
      <c r="A54" s="7">
        <v>13</v>
      </c>
      <c r="B54" s="8">
        <f t="shared" si="0"/>
        <v>13.666666666666668</v>
      </c>
      <c r="C54" s="8">
        <f t="shared" si="1"/>
        <v>16.684210526315795</v>
      </c>
    </row>
    <row r="55" spans="1:3" ht="16" x14ac:dyDescent="0.45">
      <c r="A55" s="7">
        <v>14</v>
      </c>
      <c r="B55" s="8">
        <f t="shared" si="0"/>
        <v>14.888888888888891</v>
      </c>
      <c r="C55" s="8">
        <f t="shared" si="1"/>
        <v>17.15789473684211</v>
      </c>
    </row>
    <row r="56" spans="1:3" ht="16" x14ac:dyDescent="0.45">
      <c r="A56" s="7">
        <v>15</v>
      </c>
      <c r="B56" s="8">
        <f t="shared" si="0"/>
        <v>16.111111111111111</v>
      </c>
      <c r="C56" s="8">
        <f t="shared" si="1"/>
        <v>17.631578947368425</v>
      </c>
    </row>
    <row r="57" spans="1:3" ht="16" x14ac:dyDescent="0.45">
      <c r="A57" s="7">
        <v>16</v>
      </c>
      <c r="B57" s="8">
        <f t="shared" si="0"/>
        <v>17.333333333333336</v>
      </c>
      <c r="C57" s="8">
        <f t="shared" si="1"/>
        <v>18.105263157894743</v>
      </c>
    </row>
    <row r="58" spans="1:3" ht="16" x14ac:dyDescent="0.45">
      <c r="A58" s="7">
        <v>17</v>
      </c>
      <c r="B58" s="8">
        <f t="shared" si="0"/>
        <v>18.555555555555557</v>
      </c>
      <c r="C58" s="8">
        <f t="shared" si="1"/>
        <v>18.578947368421058</v>
      </c>
    </row>
    <row r="59" spans="1:3" ht="16" x14ac:dyDescent="0.45">
      <c r="A59" s="7">
        <v>18</v>
      </c>
      <c r="B59" s="8">
        <f t="shared" si="0"/>
        <v>19.777777777777779</v>
      </c>
      <c r="C59" s="8">
        <f t="shared" si="1"/>
        <v>19.052631578947373</v>
      </c>
    </row>
    <row r="60" spans="1:3" ht="16" x14ac:dyDescent="0.45">
      <c r="A60" s="7">
        <v>19</v>
      </c>
      <c r="B60" s="8">
        <f t="shared" si="0"/>
        <v>21.000000000000004</v>
      </c>
      <c r="C60" s="8">
        <f t="shared" si="1"/>
        <v>19.526315789473689</v>
      </c>
    </row>
    <row r="61" spans="1:3" ht="16" x14ac:dyDescent="0.45">
      <c r="A61" s="7">
        <v>20</v>
      </c>
      <c r="B61" s="8">
        <f t="shared" si="0"/>
        <v>22.222222222222221</v>
      </c>
      <c r="C61" s="8">
        <f t="shared" si="1"/>
        <v>20.000000000000007</v>
      </c>
    </row>
    <row r="62" spans="1:3" ht="16" x14ac:dyDescent="0.45">
      <c r="A62" s="7">
        <v>21</v>
      </c>
      <c r="B62" s="8">
        <f t="shared" si="0"/>
        <v>23.444444444444446</v>
      </c>
      <c r="C62" s="8">
        <f t="shared" si="1"/>
        <v>20.473684210526322</v>
      </c>
    </row>
    <row r="63" spans="1:3" ht="16" x14ac:dyDescent="0.45">
      <c r="A63" s="7">
        <v>22</v>
      </c>
      <c r="B63" s="8">
        <f t="shared" si="0"/>
        <v>24.666666666666668</v>
      </c>
      <c r="C63" s="8">
        <f t="shared" si="1"/>
        <v>20.947368421052641</v>
      </c>
    </row>
    <row r="64" spans="1:3" ht="16" x14ac:dyDescent="0.45">
      <c r="A64" s="7">
        <v>23</v>
      </c>
      <c r="B64" s="8">
        <f t="shared" si="0"/>
        <v>25.888888888888889</v>
      </c>
      <c r="C64" s="8">
        <f t="shared" si="1"/>
        <v>21.421052631578956</v>
      </c>
    </row>
    <row r="65" spans="1:3" ht="16" x14ac:dyDescent="0.45">
      <c r="A65" s="7">
        <v>24</v>
      </c>
      <c r="B65" s="8">
        <f t="shared" si="0"/>
        <v>27.111111111111114</v>
      </c>
      <c r="C65" s="8">
        <f t="shared" si="1"/>
        <v>21.894736842105271</v>
      </c>
    </row>
    <row r="66" spans="1:3" ht="16" x14ac:dyDescent="0.45">
      <c r="A66" s="7">
        <v>25</v>
      </c>
      <c r="B66" s="8">
        <f t="shared" si="0"/>
        <v>28.333333333333336</v>
      </c>
      <c r="C66" s="8">
        <f t="shared" si="1"/>
        <v>22.368421052631586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LP Policy Evaluation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Hahsler, Michael</cp:lastModifiedBy>
  <dcterms:created xsi:type="dcterms:W3CDTF">2026-09-12T15:17:29Z</dcterms:created>
  <dcterms:modified xsi:type="dcterms:W3CDTF">2026-09-14T13:59:20Z</dcterms:modified>
</cp:coreProperties>
</file>