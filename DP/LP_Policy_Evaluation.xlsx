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mhahsler\github\Introduction_to_Reinforcement_Learning\DP\"/>
    </mc:Choice>
  </mc:AlternateContent>
  <xr:revisionPtr revIDLastSave="0" documentId="13_ncr:1_{6916408F-37D9-43A6-A569-BF5634D66DB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P Policy Evaluation" sheetId="1" r:id="rId1"/>
  </sheets>
  <definedNames>
    <definedName name="solver_adj" localSheetId="0" hidden="1">'LP Policy Evaluation'!$F$26:$F$27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'LP Policy Evaluation'!$F$26</definedName>
    <definedName name="solver_lhs2" localSheetId="0" hidden="1">'LP Policy Evaluation'!$F$27</definedName>
    <definedName name="solver_lhs3" localSheetId="0" hidden="1">'LP Policy Evaluation'!$F$27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'LP Policy Evaluation'!$E$31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hs1" localSheetId="0" hidden="1">'LP Policy Evaluation'!$H$26</definedName>
    <definedName name="solver_rhs2" localSheetId="0" hidden="1">'LP Policy Evaluation'!$H$27</definedName>
    <definedName name="solver_rhs3" localSheetId="0" hidden="1">'LP Policy Evaluation'!$H$27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F29" i="1"/>
  <c r="H27" i="1"/>
  <c r="G22" i="1"/>
  <c r="F22" i="1"/>
  <c r="G21" i="1"/>
  <c r="F21" i="1"/>
  <c r="G20" i="1"/>
  <c r="F20" i="1"/>
  <c r="G19" i="1"/>
  <c r="F19" i="1"/>
  <c r="B19" i="1"/>
  <c r="G18" i="1"/>
  <c r="F18" i="1"/>
  <c r="B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</calcChain>
</file>

<file path=xl/sharedStrings.xml><?xml version="1.0" encoding="utf-8"?>
<sst xmlns="http://schemas.openxmlformats.org/spreadsheetml/2006/main" count="35" uniqueCount="32">
  <si>
    <t>Two-State MDP Policy Evaluation via Linear Programming</t>
  </si>
  <si>
    <t>Interactive setup solving V(s1) and V(s2) using Bellman Expectation Constraints</t>
  </si>
  <si>
    <t>1. MDP Parameters (Editable)</t>
  </si>
  <si>
    <t>3. Linear Programming Constraint Lines</t>
  </si>
  <si>
    <t>Parameter</t>
  </si>
  <si>
    <t>Value</t>
  </si>
  <si>
    <t>Description</t>
  </si>
  <si>
    <t>Discount Factor (γ)</t>
  </si>
  <si>
    <t>Future reward discount rate</t>
  </si>
  <si>
    <t>Reward S1 (R1)</t>
  </si>
  <si>
    <t>Immediate expected reward from State 1</t>
  </si>
  <si>
    <t>Reward S2 (R2)</t>
  </si>
  <si>
    <t>Immediate expected reward from State 2</t>
  </si>
  <si>
    <t>P11</t>
  </si>
  <si>
    <t>Transition probability from S1 to S1</t>
  </si>
  <si>
    <t>P12</t>
  </si>
  <si>
    <t>Transition probability from S1 to S2</t>
  </si>
  <si>
    <t>P21</t>
  </si>
  <si>
    <t>Transition probability from S2 to S1</t>
  </si>
  <si>
    <t>P22</t>
  </si>
  <si>
    <t>Transition probability from S2 to S2</t>
  </si>
  <si>
    <t>2. Exact Optimal Solution (Intersection Point)</t>
  </si>
  <si>
    <t>State</t>
  </si>
  <si>
    <t>V(s1)</t>
  </si>
  <si>
    <t>V(s2)</t>
  </si>
  <si>
    <t>V</t>
  </si>
  <si>
    <t>Constraint V(s2)</t>
  </si>
  <si>
    <t>Constraint V(s1)</t>
  </si>
  <si>
    <t>constraint</t>
  </si>
  <si>
    <t>Using the Solver</t>
  </si>
  <si>
    <t>objective (min)</t>
  </si>
  <si>
    <t>Feasible region it the top tight triangle between the two constraint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</si>
</sst>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Segoe UI"/>
      <family val="2"/>
    </font>
    <font>
      <i/>
      <sz val="10"/>
      <color rgb="FF595959"/>
      <name val="Segoe UI"/>
      <family val="2"/>
    </font>
    <font>
      <b/>
      <sz val="12"/>
      <color rgb="FF1F497D"/>
      <name val="Segoe UI"/>
      <family val="2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1" xfId="0" applyFont="1" applyBorder="1"/>
    <xf numFmtId="2" fontId="6" fillId="0" borderId="1" xfId="0" applyNumberFormat="1" applyFont="1" applyBorder="1" applyAlignment="1">
      <alignment horizontal="right"/>
    </xf>
    <xf numFmtId="0" fontId="6" fillId="0" borderId="1" xfId="0" applyFont="1" applyBorder="1"/>
    <xf numFmtId="164" fontId="6" fillId="0" borderId="1" xfId="0" applyNumberFormat="1" applyFont="1" applyBorder="1"/>
    <xf numFmtId="2" fontId="6" fillId="0" borderId="1" xfId="0" applyNumberFormat="1" applyFont="1" applyBorder="1"/>
    <xf numFmtId="164" fontId="6" fillId="0" borderId="1" xfId="0" applyNumberFormat="1" applyFont="1" applyBorder="1" applyAlignment="1">
      <alignment horizontal="right"/>
    </xf>
    <xf numFmtId="0" fontId="4" fillId="2" borderId="0" xfId="0" applyFont="1" applyFill="1"/>
    <xf numFmtId="2" fontId="0" fillId="0" borderId="0" xfId="0" applyNumberFormat="1"/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LP</a:t>
            </a:r>
            <a:r>
              <a:rPr lang="en-US" baseline="0"/>
              <a:t> for 2-State MDP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'LP Policy Evaluation'!$F$6</c:f>
              <c:strCache>
                <c:ptCount val="1"/>
                <c:pt idx="0">
                  <c:v>Constraint V(s1)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'LP Policy Evaluation'!$E$7:$E$22</c:f>
              <c:numCache>
                <c:formatCode>0.0</c:formatCode>
                <c:ptCount val="1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</c:numCache>
            </c:numRef>
          </c:cat>
          <c:val>
            <c:numRef>
              <c:f>'LP Policy Evaluation'!$F$7:$F$22</c:f>
              <c:numCache>
                <c:formatCode>0.00</c:formatCode>
                <c:ptCount val="16"/>
                <c:pt idx="0">
                  <c:v>10</c:v>
                </c:pt>
                <c:pt idx="1">
                  <c:v>11.222222222222223</c:v>
                </c:pt>
                <c:pt idx="2">
                  <c:v>12.444444444444445</c:v>
                </c:pt>
                <c:pt idx="3">
                  <c:v>13.666666666666668</c:v>
                </c:pt>
                <c:pt idx="4">
                  <c:v>14.888888888888891</c:v>
                </c:pt>
                <c:pt idx="5">
                  <c:v>16.111111111111111</c:v>
                </c:pt>
                <c:pt idx="6">
                  <c:v>17.333333333333336</c:v>
                </c:pt>
                <c:pt idx="7">
                  <c:v>18.555555555555557</c:v>
                </c:pt>
                <c:pt idx="8">
                  <c:v>19.777777777777779</c:v>
                </c:pt>
                <c:pt idx="9">
                  <c:v>21.000000000000004</c:v>
                </c:pt>
                <c:pt idx="10">
                  <c:v>22.222222222222221</c:v>
                </c:pt>
                <c:pt idx="11">
                  <c:v>23.444444444444446</c:v>
                </c:pt>
                <c:pt idx="12">
                  <c:v>24.666666666666668</c:v>
                </c:pt>
                <c:pt idx="13">
                  <c:v>25.888888888888889</c:v>
                </c:pt>
                <c:pt idx="14">
                  <c:v>27.111111111111114</c:v>
                </c:pt>
                <c:pt idx="15">
                  <c:v>28.333333333333336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8-4C8E-B00A-22D066A9B0B7}"/>
            </c:ext>
          </c:extLst>
        </c:ser>
        <c:ser>
          <c:idx val="1"/>
          <c:order val="1"/>
          <c:tx>
            <c:strRef>
              <c:f>'LP Policy Evaluation'!$G$6</c:f>
              <c:strCache>
                <c:ptCount val="1"/>
                <c:pt idx="0">
                  <c:v>Constraint V(s2)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'LP Policy Evaluation'!$E$7:$E$22</c:f>
              <c:numCache>
                <c:formatCode>0.0</c:formatCode>
                <c:ptCount val="1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</c:numCache>
            </c:numRef>
          </c:cat>
          <c:val>
            <c:numRef>
              <c:f>'LP Policy Evaluation'!$G$7:$G$22</c:f>
              <c:numCache>
                <c:formatCode>0.00</c:formatCode>
                <c:ptCount val="16"/>
                <c:pt idx="0">
                  <c:v>15.263157894736848</c:v>
                </c:pt>
                <c:pt idx="1">
                  <c:v>15.736842105263163</c:v>
                </c:pt>
                <c:pt idx="2">
                  <c:v>16.21052631578948</c:v>
                </c:pt>
                <c:pt idx="3">
                  <c:v>16.684210526315795</c:v>
                </c:pt>
                <c:pt idx="4">
                  <c:v>17.15789473684211</c:v>
                </c:pt>
                <c:pt idx="5">
                  <c:v>17.631578947368425</c:v>
                </c:pt>
                <c:pt idx="6">
                  <c:v>18.105263157894743</c:v>
                </c:pt>
                <c:pt idx="7">
                  <c:v>18.578947368421058</c:v>
                </c:pt>
                <c:pt idx="8">
                  <c:v>19.052631578947373</c:v>
                </c:pt>
                <c:pt idx="9">
                  <c:v>19.526315789473689</c:v>
                </c:pt>
                <c:pt idx="10">
                  <c:v>20.000000000000007</c:v>
                </c:pt>
                <c:pt idx="11">
                  <c:v>20.473684210526322</c:v>
                </c:pt>
                <c:pt idx="12">
                  <c:v>20.947368421052641</c:v>
                </c:pt>
                <c:pt idx="13">
                  <c:v>21.421052631578956</c:v>
                </c:pt>
                <c:pt idx="14">
                  <c:v>21.894736842105271</c:v>
                </c:pt>
                <c:pt idx="15">
                  <c:v>22.368421052631586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28-4C8E-B00A-22D066A9B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217840"/>
        <c:axId val="1015613472"/>
      </c:lineChart>
      <c:catAx>
        <c:axId val="93821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V(s1)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613472"/>
        <c:crosses val="autoZero"/>
        <c:auto val="1"/>
        <c:lblAlgn val="ctr"/>
        <c:lblOffset val="100"/>
        <c:noMultiLvlLbl val="0"/>
      </c:catAx>
      <c:valAx>
        <c:axId val="10156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V(s2)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1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244475</xdr:colOff>
      <xdr:row>24</xdr:row>
      <xdr:rowOff>19050</xdr:rowOff>
    </xdr:from>
    <xdr:to>
      <xdr:col>2</xdr:col>
      <xdr:colOff>1435100</xdr:colOff>
      <xdr:row>41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392BAE-65BB-DF7C-4722-CF4BC4EA0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114300</xdr:colOff>
      <xdr:row>29</xdr:row>
      <xdr:rowOff>177800</xdr:rowOff>
    </xdr:from>
    <xdr:to>
      <xdr:col>7</xdr:col>
      <xdr:colOff>1014009</xdr:colOff>
      <xdr:row>52</xdr:row>
      <xdr:rowOff>159885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4A4C9F-B5CB-FC55-9B9A-9D8C696694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13" t="1190" r="1"/>
        <a:stretch>
          <a:fillRect/>
        </a:stretch>
      </xdr:blipFill>
      <xdr:spPr>
        <a:xfrm>
          <a:off x="5930900" y="6089650"/>
          <a:ext cx="4385859" cy="4217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9"/>
  <sheetViews>
    <sheetView tabSelected="1" topLeftCell="A8" workbookViewId="0">
      <selection activeCell="C25" sqref="C25"/>
    </sheetView>
  </sheetViews>
  <sheetFormatPr defaultRowHeight="14.5" x14ac:dyDescent="0.35"/>
  <cols>
    <col min="1" max="1" width="27.36328125" customWidth="1"/>
    <col min="2" max="2" width="7.36328125" customWidth="1"/>
    <col min="3" max="3" width="36.54296875" customWidth="1"/>
    <col min="4" max="4" width="12" customWidth="1"/>
    <col min="5" max="5" width="19.90625" customWidth="1"/>
    <col min="6" max="6" width="13.90625" customWidth="1"/>
    <col min="7" max="8" width="16.08984375" customWidth="1"/>
  </cols>
  <sheetData>
    <row r="2" spans="1:9" ht="25" x14ac:dyDescent="0.7">
      <c r="A2" s="1" t="s">
        <v>0</v>
      </c>
    </row>
    <row r="3" spans="1:9" ht="16" x14ac:dyDescent="0.45">
      <c r="A3" s="2" t="s">
        <v>1</v>
      </c>
    </row>
    <row r="5" spans="1:9" ht="17.5" x14ac:dyDescent="0.45">
      <c r="A5" s="3" t="s">
        <v>2</v>
      </c>
      <c r="E5" s="3" t="s">
        <v>3</v>
      </c>
    </row>
    <row r="6" spans="1:9" ht="16" x14ac:dyDescent="0.45">
      <c r="A6" s="4" t="s">
        <v>4</v>
      </c>
      <c r="B6" s="4" t="s">
        <v>5</v>
      </c>
      <c r="C6" s="4" t="s">
        <v>6</v>
      </c>
      <c r="E6" s="4" t="s">
        <v>23</v>
      </c>
      <c r="F6" s="4" t="s">
        <v>27</v>
      </c>
      <c r="G6" s="4" t="s">
        <v>26</v>
      </c>
    </row>
    <row r="7" spans="1:9" ht="16" x14ac:dyDescent="0.45">
      <c r="A7" s="5" t="s">
        <v>7</v>
      </c>
      <c r="B7" s="6">
        <v>0.9</v>
      </c>
      <c r="C7" s="7" t="s">
        <v>8</v>
      </c>
      <c r="E7" s="8">
        <v>10</v>
      </c>
      <c r="F7" s="9">
        <f t="shared" ref="F7:F22" si="0">(E7*(1-$B$7*$B$10)-$B$8)/($B$7*$B$11)</f>
        <v>10</v>
      </c>
      <c r="G7" s="9">
        <f t="shared" ref="G7:G22" si="1">($B$9+$B$7*$B$12*E7)/(1-$B$7*$B$13)</f>
        <v>15.263157894736848</v>
      </c>
      <c r="H7" s="13"/>
      <c r="I7" s="12"/>
    </row>
    <row r="8" spans="1:9" ht="16" x14ac:dyDescent="0.45">
      <c r="A8" s="5" t="s">
        <v>9</v>
      </c>
      <c r="B8" s="10">
        <v>1</v>
      </c>
      <c r="C8" s="7" t="s">
        <v>10</v>
      </c>
      <c r="E8" s="8">
        <v>11</v>
      </c>
      <c r="F8" s="9">
        <f t="shared" si="0"/>
        <v>11.222222222222223</v>
      </c>
      <c r="G8" s="9">
        <f t="shared" si="1"/>
        <v>15.736842105263163</v>
      </c>
      <c r="H8" s="13"/>
      <c r="I8" s="12"/>
    </row>
    <row r="9" spans="1:9" ht="16" x14ac:dyDescent="0.45">
      <c r="A9" s="5" t="s">
        <v>11</v>
      </c>
      <c r="B9" s="10">
        <v>2</v>
      </c>
      <c r="C9" s="7" t="s">
        <v>12</v>
      </c>
      <c r="E9" s="8">
        <v>12</v>
      </c>
      <c r="F9" s="9">
        <f t="shared" si="0"/>
        <v>12.444444444444445</v>
      </c>
      <c r="G9" s="9">
        <f t="shared" si="1"/>
        <v>16.21052631578948</v>
      </c>
      <c r="H9" s="13"/>
      <c r="I9" s="12"/>
    </row>
    <row r="10" spans="1:9" ht="16" x14ac:dyDescent="0.45">
      <c r="A10" s="5" t="s">
        <v>13</v>
      </c>
      <c r="B10" s="10">
        <v>0.5</v>
      </c>
      <c r="C10" s="7" t="s">
        <v>14</v>
      </c>
      <c r="E10" s="8">
        <v>13</v>
      </c>
      <c r="F10" s="9">
        <f t="shared" si="0"/>
        <v>13.666666666666668</v>
      </c>
      <c r="G10" s="9">
        <f t="shared" si="1"/>
        <v>16.684210526315795</v>
      </c>
      <c r="H10" s="13"/>
      <c r="I10" s="12"/>
    </row>
    <row r="11" spans="1:9" ht="16" x14ac:dyDescent="0.45">
      <c r="A11" s="5" t="s">
        <v>15</v>
      </c>
      <c r="B11" s="10">
        <v>0.5</v>
      </c>
      <c r="C11" s="7" t="s">
        <v>16</v>
      </c>
      <c r="E11" s="8">
        <v>14</v>
      </c>
      <c r="F11" s="9">
        <f t="shared" si="0"/>
        <v>14.888888888888891</v>
      </c>
      <c r="G11" s="9">
        <f t="shared" si="1"/>
        <v>17.15789473684211</v>
      </c>
      <c r="H11" s="13"/>
      <c r="I11" s="12"/>
    </row>
    <row r="12" spans="1:9" ht="16" x14ac:dyDescent="0.45">
      <c r="A12" s="5" t="s">
        <v>17</v>
      </c>
      <c r="B12" s="10">
        <v>0.1</v>
      </c>
      <c r="C12" s="7" t="s">
        <v>18</v>
      </c>
      <c r="E12" s="8">
        <v>15</v>
      </c>
      <c r="F12" s="9">
        <f t="shared" si="0"/>
        <v>16.111111111111111</v>
      </c>
      <c r="G12" s="9">
        <f t="shared" si="1"/>
        <v>17.631578947368425</v>
      </c>
      <c r="H12" s="13"/>
      <c r="I12" s="12"/>
    </row>
    <row r="13" spans="1:9" ht="16" x14ac:dyDescent="0.45">
      <c r="A13" s="5" t="s">
        <v>19</v>
      </c>
      <c r="B13" s="10">
        <v>0.9</v>
      </c>
      <c r="C13" s="7" t="s">
        <v>20</v>
      </c>
      <c r="E13" s="8">
        <v>16</v>
      </c>
      <c r="F13" s="9">
        <f t="shared" si="0"/>
        <v>17.333333333333336</v>
      </c>
      <c r="G13" s="9">
        <f t="shared" si="1"/>
        <v>18.105263157894743</v>
      </c>
      <c r="H13" s="13"/>
      <c r="I13" s="12"/>
    </row>
    <row r="14" spans="1:9" ht="16" x14ac:dyDescent="0.45">
      <c r="E14" s="8">
        <v>17</v>
      </c>
      <c r="F14" s="9">
        <f t="shared" si="0"/>
        <v>18.555555555555557</v>
      </c>
      <c r="G14" s="9">
        <f t="shared" si="1"/>
        <v>18.578947368421058</v>
      </c>
      <c r="H14" s="13"/>
      <c r="I14" s="12"/>
    </row>
    <row r="15" spans="1:9" ht="16" x14ac:dyDescent="0.45">
      <c r="E15" s="8">
        <v>18</v>
      </c>
      <c r="F15" s="9">
        <f t="shared" si="0"/>
        <v>19.777777777777779</v>
      </c>
      <c r="G15" s="9">
        <f t="shared" si="1"/>
        <v>19.052631578947373</v>
      </c>
      <c r="H15" s="13"/>
      <c r="I15" s="12"/>
    </row>
    <row r="16" spans="1:9" ht="17.5" x14ac:dyDescent="0.45">
      <c r="A16" s="3" t="s">
        <v>21</v>
      </c>
      <c r="E16" s="8">
        <v>19</v>
      </c>
      <c r="F16" s="9">
        <f t="shared" si="0"/>
        <v>21.000000000000004</v>
      </c>
      <c r="G16" s="9">
        <f t="shared" si="1"/>
        <v>19.526315789473689</v>
      </c>
      <c r="H16" s="13"/>
      <c r="I16" s="12"/>
    </row>
    <row r="17" spans="1:9" ht="16" x14ac:dyDescent="0.45">
      <c r="A17" s="11" t="s">
        <v>22</v>
      </c>
      <c r="B17" s="4" t="s">
        <v>25</v>
      </c>
      <c r="E17" s="8">
        <v>20</v>
      </c>
      <c r="F17" s="9">
        <f t="shared" si="0"/>
        <v>22.222222222222221</v>
      </c>
      <c r="G17" s="9">
        <f t="shared" si="1"/>
        <v>20.000000000000007</v>
      </c>
      <c r="H17" s="13"/>
      <c r="I17" s="12"/>
    </row>
    <row r="18" spans="1:9" ht="16" x14ac:dyDescent="0.45">
      <c r="A18" s="5" t="s">
        <v>23</v>
      </c>
      <c r="B18" s="9">
        <f>(((1-$B$7*$B$13)*$B$8 + ($B$7*$B$11)*$B$9)/((1-$B$7*$B$10)*(1-$B$7*$B$13)-($B$7*$B$11)*($B$7*$B$12)))</f>
        <v>17.031250000000004</v>
      </c>
      <c r="E18" s="8">
        <v>21</v>
      </c>
      <c r="F18" s="9">
        <f t="shared" si="0"/>
        <v>23.444444444444446</v>
      </c>
      <c r="G18" s="9">
        <f t="shared" si="1"/>
        <v>20.473684210526322</v>
      </c>
      <c r="H18" s="13"/>
      <c r="I18" s="12"/>
    </row>
    <row r="19" spans="1:9" ht="16" x14ac:dyDescent="0.45">
      <c r="A19" s="5" t="s">
        <v>24</v>
      </c>
      <c r="B19" s="9">
        <f>((($B$7*$B$12)*$B$8 + (1-$B$7*$B$10)*$B$9)/((1-$B$7*$B$10)*(1-$B$7*$B$13)-($B$7*$B$11)*($B$7*$B$12)))</f>
        <v>18.593750000000011</v>
      </c>
      <c r="E19" s="8">
        <v>22</v>
      </c>
      <c r="F19" s="9">
        <f t="shared" si="0"/>
        <v>24.666666666666668</v>
      </c>
      <c r="G19" s="9">
        <f t="shared" si="1"/>
        <v>20.947368421052641</v>
      </c>
      <c r="H19" s="13"/>
      <c r="I19" s="12"/>
    </row>
    <row r="20" spans="1:9" ht="16" x14ac:dyDescent="0.45">
      <c r="E20" s="8">
        <v>23</v>
      </c>
      <c r="F20" s="9">
        <f t="shared" si="0"/>
        <v>25.888888888888889</v>
      </c>
      <c r="G20" s="9">
        <f t="shared" si="1"/>
        <v>21.421052631578956</v>
      </c>
      <c r="H20" s="13"/>
      <c r="I20" s="12"/>
    </row>
    <row r="21" spans="1:9" ht="16" x14ac:dyDescent="0.45">
      <c r="E21" s="8">
        <v>24</v>
      </c>
      <c r="F21" s="9">
        <f t="shared" si="0"/>
        <v>27.111111111111114</v>
      </c>
      <c r="G21" s="9">
        <f t="shared" si="1"/>
        <v>21.894736842105271</v>
      </c>
      <c r="H21" s="13"/>
      <c r="I21" s="12"/>
    </row>
    <row r="22" spans="1:9" ht="16" x14ac:dyDescent="0.45">
      <c r="A22" t="s">
        <v>31</v>
      </c>
      <c r="E22" s="8">
        <v>25</v>
      </c>
      <c r="F22" s="9">
        <f t="shared" si="0"/>
        <v>28.333333333333336</v>
      </c>
      <c r="G22" s="9">
        <f t="shared" si="1"/>
        <v>22.368421052631586</v>
      </c>
      <c r="H22" s="13"/>
      <c r="I22" s="12"/>
    </row>
    <row r="25" spans="1:9" x14ac:dyDescent="0.35">
      <c r="E25" t="s">
        <v>29</v>
      </c>
      <c r="H25" t="s">
        <v>28</v>
      </c>
    </row>
    <row r="26" spans="1:9" ht="16" x14ac:dyDescent="0.45">
      <c r="E26" s="5" t="s">
        <v>23</v>
      </c>
      <c r="F26">
        <v>17.031249999999989</v>
      </c>
      <c r="H26">
        <f>B8+B7*(B10*F26+B11*F27)</f>
        <v>17.031249999999989</v>
      </c>
    </row>
    <row r="27" spans="1:9" ht="16" x14ac:dyDescent="0.45">
      <c r="E27" s="5" t="s">
        <v>24</v>
      </c>
      <c r="F27">
        <v>18.593749999999989</v>
      </c>
      <c r="H27">
        <f>B9+B7*(B12*F26+B13*F27)</f>
        <v>18.593749999999989</v>
      </c>
    </row>
    <row r="29" spans="1:9" x14ac:dyDescent="0.35">
      <c r="E29" t="s">
        <v>30</v>
      </c>
      <c r="F29">
        <f>F26+F27</f>
        <v>35.624999999999979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 Policy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Hahsler, Michael</cp:lastModifiedBy>
  <dcterms:created xsi:type="dcterms:W3CDTF">2026-09-12T15:17:29Z</dcterms:created>
  <dcterms:modified xsi:type="dcterms:W3CDTF">2026-09-12T18:37:07Z</dcterms:modified>
</cp:coreProperties>
</file>